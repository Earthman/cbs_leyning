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yan" sheetId="1" state="visible" r:id="rId1"/>
    <sheet xmlns:r="http://schemas.openxmlformats.org/officeDocument/2006/relationships" name="Bamidbar" sheetId="2" state="visible" r:id="rId2"/>
    <sheet xmlns:r="http://schemas.openxmlformats.org/officeDocument/2006/relationships" name="Shavuot I" sheetId="3" state="visible" r:id="rId3"/>
    <sheet xmlns:r="http://schemas.openxmlformats.org/officeDocument/2006/relationships" name="Shavuot II (on Shabbat)" sheetId="4" state="visible" r:id="rId4"/>
    <sheet xmlns:r="http://schemas.openxmlformats.org/officeDocument/2006/relationships" name="Nasso" sheetId="5" state="visible" r:id="rId5"/>
    <sheet xmlns:r="http://schemas.openxmlformats.org/officeDocument/2006/relationships" name="Beha'alotcha" sheetId="6" state="visible" r:id="rId6"/>
    <sheet xmlns:r="http://schemas.openxmlformats.org/officeDocument/2006/relationships" name="Sh'lach" sheetId="7" state="visible" r:id="rId7"/>
    <sheet xmlns:r="http://schemas.openxmlformats.org/officeDocument/2006/relationships" name="Korach" sheetId="8" state="visible" r:id="rId8"/>
    <sheet xmlns:r="http://schemas.openxmlformats.org/officeDocument/2006/relationships" name="Chukat-Balak" sheetId="9" state="visible" r:id="rId9"/>
    <sheet xmlns:r="http://schemas.openxmlformats.org/officeDocument/2006/relationships" name="Tzom Tammuz" sheetId="10" state="visible" r:id="rId10"/>
    <sheet xmlns:r="http://schemas.openxmlformats.org/officeDocument/2006/relationships" name="Tzom Tammuz (Mincha)" sheetId="11" state="visible" r:id="rId11"/>
    <sheet xmlns:r="http://schemas.openxmlformats.org/officeDocument/2006/relationships" name="Pinchas" sheetId="12" state="visible" r:id="rId12"/>
    <sheet xmlns:r="http://schemas.openxmlformats.org/officeDocument/2006/relationships" name="Matot-Mase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sz val="24"/>
    </font>
    <font>
      <name val="Arial"/>
      <sz val="14"/>
    </font>
  </fonts>
  <fills count="8">
    <fill>
      <patternFill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</cols>
  <sheetData>
    <row r="1">
      <c r="A1" s="1" t="inlineStr">
        <is>
          <t>May 31</t>
        </is>
      </c>
      <c r="B1" s="1" t="inlineStr">
        <is>
          <t>24 Iyyar</t>
        </is>
      </c>
      <c r="C1" s="1" t="inlineStr">
        <is>
          <t>Bamidbar</t>
        </is>
      </c>
      <c r="D1" s="1" t="inlineStr">
        <is>
          <t>Monday</t>
        </is>
      </c>
    </row>
    <row r="2">
      <c r="A2" s="2" t="inlineStr">
        <is>
          <t>I</t>
        </is>
      </c>
      <c r="B2" s="3" t="inlineStr">
        <is>
          <t>Numbers 1:1-4 (4)</t>
        </is>
      </c>
      <c r="C2" s="3" t="inlineStr"/>
      <c r="D2" s="3" t="inlineStr"/>
    </row>
    <row r="3">
      <c r="A3" s="2" t="inlineStr">
        <is>
          <t>II</t>
        </is>
      </c>
      <c r="B3" s="3" t="inlineStr">
        <is>
          <t>Numbers 1:5-16 (12)</t>
        </is>
      </c>
      <c r="C3" s="3" t="inlineStr"/>
      <c r="D3" s="3" t="inlineStr"/>
    </row>
    <row r="4">
      <c r="A4" s="2" t="inlineStr">
        <is>
          <t>III</t>
        </is>
      </c>
      <c r="B4" s="3" t="inlineStr">
        <is>
          <t>Numbers 1:17-19 (3)</t>
        </is>
      </c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1" t="inlineStr">
        <is>
          <t>Jun 03</t>
        </is>
      </c>
      <c r="B6" s="1" t="inlineStr">
        <is>
          <t>27 Iyyar</t>
        </is>
      </c>
      <c r="C6" s="1" t="inlineStr">
        <is>
          <t>Bamidbar</t>
        </is>
      </c>
      <c r="D6" s="1" t="inlineStr">
        <is>
          <t>Thursday</t>
        </is>
      </c>
    </row>
    <row r="7">
      <c r="A7" s="2" t="inlineStr">
        <is>
          <t>I</t>
        </is>
      </c>
      <c r="B7" s="3" t="inlineStr">
        <is>
          <t>Numbers 1:1-4 (4)</t>
        </is>
      </c>
      <c r="C7" s="3" t="inlineStr"/>
      <c r="D7" s="3" t="inlineStr"/>
    </row>
    <row r="8">
      <c r="A8" s="2" t="inlineStr">
        <is>
          <t>II</t>
        </is>
      </c>
      <c r="B8" s="3" t="inlineStr">
        <is>
          <t>Numbers 1:5-16 (12)</t>
        </is>
      </c>
      <c r="C8" s="3" t="inlineStr"/>
      <c r="D8" s="3" t="inlineStr"/>
    </row>
    <row r="9">
      <c r="A9" s="2" t="inlineStr">
        <is>
          <t>III</t>
        </is>
      </c>
      <c r="B9" s="3" t="inlineStr">
        <is>
          <t>Numbers 1:17-19 (3)</t>
        </is>
      </c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4" t="inlineStr">
        <is>
          <t>Jun 06</t>
        </is>
      </c>
      <c r="B11" s="4" t="inlineStr">
        <is>
          <t>1 Sivan</t>
        </is>
      </c>
      <c r="C11" s="4" t="inlineStr">
        <is>
          <t>Rosh Chodesh Sivan</t>
        </is>
      </c>
      <c r="D11" s="4" t="inlineStr">
        <is>
          <t>Sunday</t>
        </is>
      </c>
    </row>
    <row r="12">
      <c r="A12" s="2" t="inlineStr">
        <is>
          <t>I</t>
        </is>
      </c>
      <c r="B12" s="3" t="inlineStr">
        <is>
          <t>Numbers 28:1-3 (3)</t>
        </is>
      </c>
      <c r="C12" s="3" t="inlineStr"/>
      <c r="D12" s="3" t="inlineStr"/>
    </row>
    <row r="13">
      <c r="A13" s="2" t="inlineStr">
        <is>
          <t>II</t>
        </is>
      </c>
      <c r="B13" s="3" t="inlineStr">
        <is>
          <t>Numbers 28:3-5 (3)</t>
        </is>
      </c>
      <c r="C13" s="3" t="inlineStr"/>
      <c r="D13" s="3" t="inlineStr"/>
    </row>
    <row r="14">
      <c r="A14" s="2" t="inlineStr">
        <is>
          <t>III</t>
        </is>
      </c>
      <c r="B14" s="3" t="inlineStr">
        <is>
          <t>Numbers 28:6-10 (5)</t>
        </is>
      </c>
      <c r="C14" s="3" t="inlineStr"/>
      <c r="D14" s="3" t="inlineStr"/>
    </row>
    <row r="15">
      <c r="A15" s="2" t="inlineStr">
        <is>
          <t>IV</t>
        </is>
      </c>
      <c r="B15" s="3" t="inlineStr">
        <is>
          <t>Numbers 28:11-15 (5)</t>
        </is>
      </c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1" t="inlineStr">
        <is>
          <t>Jun 07</t>
        </is>
      </c>
      <c r="B17" s="1" t="inlineStr">
        <is>
          <t>2 Sivan</t>
        </is>
      </c>
      <c r="C17" s="1" t="inlineStr">
        <is>
          <t>Nasso</t>
        </is>
      </c>
      <c r="D17" s="1" t="inlineStr">
        <is>
          <t>Monday</t>
        </is>
      </c>
    </row>
    <row r="18">
      <c r="A18" s="2" t="inlineStr">
        <is>
          <t>I</t>
        </is>
      </c>
      <c r="B18" s="3" t="inlineStr">
        <is>
          <t>Numbers 4:21-24 (4)</t>
        </is>
      </c>
      <c r="C18" s="3" t="inlineStr"/>
      <c r="D18" s="3" t="inlineStr"/>
    </row>
    <row r="19">
      <c r="A19" s="2" t="inlineStr">
        <is>
          <t>II</t>
        </is>
      </c>
      <c r="B19" s="3" t="inlineStr">
        <is>
          <t>Numbers 4:25-28 (4)</t>
        </is>
      </c>
      <c r="C19" s="3" t="inlineStr"/>
      <c r="D19" s="3" t="inlineStr"/>
    </row>
    <row r="20">
      <c r="A20" s="2" t="inlineStr">
        <is>
          <t>III</t>
        </is>
      </c>
      <c r="B20" s="3" t="inlineStr">
        <is>
          <t>Numbers 4:29-33 (5)</t>
        </is>
      </c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1" t="inlineStr">
        <is>
          <t>Jun 10</t>
        </is>
      </c>
      <c r="B22" s="1" t="inlineStr">
        <is>
          <t>5 Sivan</t>
        </is>
      </c>
      <c r="C22" s="1" t="inlineStr">
        <is>
          <t>Nasso</t>
        </is>
      </c>
      <c r="D22" s="1" t="inlineStr">
        <is>
          <t>Thursday</t>
        </is>
      </c>
    </row>
    <row r="23">
      <c r="A23" s="2" t="inlineStr">
        <is>
          <t>I</t>
        </is>
      </c>
      <c r="B23" s="3" t="inlineStr">
        <is>
          <t>Numbers 4:21-24 (4)</t>
        </is>
      </c>
      <c r="C23" s="3" t="inlineStr"/>
      <c r="D23" s="3" t="inlineStr"/>
    </row>
    <row r="24">
      <c r="A24" s="2" t="inlineStr">
        <is>
          <t>II</t>
        </is>
      </c>
      <c r="B24" s="3" t="inlineStr">
        <is>
          <t>Numbers 4:25-28 (4)</t>
        </is>
      </c>
      <c r="C24" s="3" t="inlineStr"/>
      <c r="D24" s="3" t="inlineStr"/>
    </row>
    <row r="25">
      <c r="A25" s="2" t="inlineStr">
        <is>
          <t>III</t>
        </is>
      </c>
      <c r="B25" s="3" t="inlineStr">
        <is>
          <t>Numbers 4:29-33 (5)</t>
        </is>
      </c>
      <c r="C25" s="3" t="inlineStr"/>
      <c r="D25" s="3" t="inlineStr"/>
    </row>
    <row r="26">
      <c r="A26" s="3" t="inlineStr"/>
      <c r="B26" s="3" t="inlineStr"/>
      <c r="C26" s="3" t="inlineStr"/>
      <c r="D26" s="3" t="inlineStr"/>
    </row>
    <row r="27">
      <c r="A27" s="1" t="inlineStr">
        <is>
          <t>Jun 14</t>
        </is>
      </c>
      <c r="B27" s="1" t="inlineStr">
        <is>
          <t>9 Sivan</t>
        </is>
      </c>
      <c r="C27" s="1" t="inlineStr">
        <is>
          <t>Nasso</t>
        </is>
      </c>
      <c r="D27" s="1" t="inlineStr">
        <is>
          <t>Monday</t>
        </is>
      </c>
    </row>
    <row r="28">
      <c r="A28" s="2" t="inlineStr">
        <is>
          <t>I</t>
        </is>
      </c>
      <c r="B28" s="3" t="inlineStr">
        <is>
          <t>Numbers 4:21-24 (4)</t>
        </is>
      </c>
      <c r="C28" s="3" t="inlineStr"/>
      <c r="D28" s="3" t="inlineStr"/>
    </row>
    <row r="29">
      <c r="A29" s="2" t="inlineStr">
        <is>
          <t>II</t>
        </is>
      </c>
      <c r="B29" s="3" t="inlineStr">
        <is>
          <t>Numbers 4:25-28 (4)</t>
        </is>
      </c>
      <c r="C29" s="3" t="inlineStr"/>
      <c r="D29" s="3" t="inlineStr"/>
    </row>
    <row r="30">
      <c r="A30" s="2" t="inlineStr">
        <is>
          <t>III</t>
        </is>
      </c>
      <c r="B30" s="3" t="inlineStr">
        <is>
          <t>Numbers 4:29-33 (5)</t>
        </is>
      </c>
      <c r="C30" s="3" t="inlineStr"/>
      <c r="D30" s="3" t="inlineStr"/>
    </row>
    <row r="31">
      <c r="A31" s="3" t="inlineStr"/>
      <c r="B31" s="3" t="inlineStr"/>
      <c r="C31" s="3" t="inlineStr"/>
      <c r="D31" s="3" t="inlineStr"/>
    </row>
    <row r="32">
      <c r="A32" s="1" t="inlineStr">
        <is>
          <t>Jun 17</t>
        </is>
      </c>
      <c r="B32" s="1" t="inlineStr">
        <is>
          <t>12 Sivan</t>
        </is>
      </c>
      <c r="C32" s="1" t="inlineStr">
        <is>
          <t>Nasso</t>
        </is>
      </c>
      <c r="D32" s="1" t="inlineStr">
        <is>
          <t>Thursday</t>
        </is>
      </c>
    </row>
    <row r="33">
      <c r="A33" s="2" t="inlineStr">
        <is>
          <t>I</t>
        </is>
      </c>
      <c r="B33" s="3" t="inlineStr">
        <is>
          <t>Numbers 4:21-24 (4)</t>
        </is>
      </c>
      <c r="C33" s="3" t="inlineStr"/>
      <c r="D33" s="3" t="inlineStr"/>
    </row>
    <row r="34">
      <c r="A34" s="2" t="inlineStr">
        <is>
          <t>II</t>
        </is>
      </c>
      <c r="B34" s="3" t="inlineStr">
        <is>
          <t>Numbers 4:25-28 (4)</t>
        </is>
      </c>
      <c r="C34" s="3" t="inlineStr"/>
      <c r="D34" s="3" t="inlineStr"/>
    </row>
    <row r="35">
      <c r="A35" s="2" t="inlineStr">
        <is>
          <t>III</t>
        </is>
      </c>
      <c r="B35" s="3" t="inlineStr">
        <is>
          <t>Numbers 4:29-33 (5)</t>
        </is>
      </c>
      <c r="C35" s="3" t="inlineStr"/>
      <c r="D35" s="3" t="inlineStr"/>
    </row>
    <row r="36">
      <c r="A36" s="3" t="inlineStr"/>
      <c r="B36" s="3" t="inlineStr"/>
      <c r="C36" s="3" t="inlineStr"/>
      <c r="D36" s="3" t="inlineStr"/>
    </row>
    <row r="37">
      <c r="A37" s="1" t="inlineStr">
        <is>
          <t>Jun 21</t>
        </is>
      </c>
      <c r="B37" s="1" t="inlineStr">
        <is>
          <t>16 Sivan</t>
        </is>
      </c>
      <c r="C37" s="1" t="inlineStr">
        <is>
          <t>Beha'alotcha</t>
        </is>
      </c>
      <c r="D37" s="1" t="inlineStr">
        <is>
          <t>Monday</t>
        </is>
      </c>
    </row>
    <row r="38">
      <c r="A38" s="2" t="inlineStr">
        <is>
          <t>I</t>
        </is>
      </c>
      <c r="B38" s="3" t="inlineStr">
        <is>
          <t>Numbers 8:1-4 (4)</t>
        </is>
      </c>
      <c r="C38" s="3" t="inlineStr"/>
      <c r="D38" s="3" t="inlineStr"/>
    </row>
    <row r="39">
      <c r="A39" s="2" t="inlineStr">
        <is>
          <t>II</t>
        </is>
      </c>
      <c r="B39" s="3" t="inlineStr">
        <is>
          <t>Numbers 8:5-9 (5)</t>
        </is>
      </c>
      <c r="C39" s="3" t="inlineStr"/>
      <c r="D39" s="3" t="inlineStr"/>
    </row>
    <row r="40">
      <c r="A40" s="2" t="inlineStr">
        <is>
          <t>III</t>
        </is>
      </c>
      <c r="B40" s="3" t="inlineStr">
        <is>
          <t>Numbers 8:10-14 (5)</t>
        </is>
      </c>
      <c r="C40" s="3" t="inlineStr"/>
      <c r="D40" s="3" t="inlineStr"/>
    </row>
    <row r="41">
      <c r="A41" s="3" t="inlineStr"/>
      <c r="B41" s="3" t="inlineStr"/>
      <c r="C41" s="3" t="inlineStr"/>
      <c r="D41" s="3" t="inlineStr"/>
    </row>
    <row r="42">
      <c r="A42" s="1" t="inlineStr">
        <is>
          <t>Jun 24</t>
        </is>
      </c>
      <c r="B42" s="1" t="inlineStr">
        <is>
          <t>19 Sivan</t>
        </is>
      </c>
      <c r="C42" s="1" t="inlineStr">
        <is>
          <t>Beha'alotcha</t>
        </is>
      </c>
      <c r="D42" s="1" t="inlineStr">
        <is>
          <t>Thursday</t>
        </is>
      </c>
    </row>
    <row r="43">
      <c r="A43" s="2" t="inlineStr">
        <is>
          <t>I</t>
        </is>
      </c>
      <c r="B43" s="3" t="inlineStr">
        <is>
          <t>Numbers 8:1-4 (4)</t>
        </is>
      </c>
      <c r="C43" s="3" t="inlineStr"/>
      <c r="D43" s="3" t="inlineStr"/>
    </row>
    <row r="44">
      <c r="A44" s="2" t="inlineStr">
        <is>
          <t>II</t>
        </is>
      </c>
      <c r="B44" s="3" t="inlineStr">
        <is>
          <t>Numbers 8:5-9 (5)</t>
        </is>
      </c>
      <c r="C44" s="3" t="inlineStr"/>
      <c r="D44" s="3" t="inlineStr"/>
    </row>
    <row r="45">
      <c r="A45" s="2" t="inlineStr">
        <is>
          <t>III</t>
        </is>
      </c>
      <c r="B45" s="3" t="inlineStr">
        <is>
          <t>Numbers 8:10-14 (5)</t>
        </is>
      </c>
      <c r="C45" s="3" t="inlineStr"/>
      <c r="D45" s="3" t="inlineStr"/>
    </row>
    <row r="46">
      <c r="A46" s="3" t="inlineStr"/>
      <c r="B46" s="3" t="inlineStr"/>
      <c r="C46" s="3" t="inlineStr"/>
      <c r="D46" s="3" t="inlineStr"/>
    </row>
    <row r="47">
      <c r="A47" s="1" t="inlineStr">
        <is>
          <t>Jun 28</t>
        </is>
      </c>
      <c r="B47" s="1" t="inlineStr">
        <is>
          <t>23 Sivan</t>
        </is>
      </c>
      <c r="C47" s="1" t="inlineStr">
        <is>
          <t>Sh'lach</t>
        </is>
      </c>
      <c r="D47" s="1" t="inlineStr">
        <is>
          <t>Monday</t>
        </is>
      </c>
    </row>
    <row r="48">
      <c r="A48" s="2" t="inlineStr">
        <is>
          <t>I</t>
        </is>
      </c>
      <c r="B48" s="3" t="inlineStr">
        <is>
          <t>Numbers 13:1-3 (3)</t>
        </is>
      </c>
      <c r="C48" s="3" t="inlineStr"/>
      <c r="D48" s="3" t="inlineStr"/>
    </row>
    <row r="49">
      <c r="A49" s="2" t="inlineStr">
        <is>
          <t>II</t>
        </is>
      </c>
      <c r="B49" s="3" t="inlineStr">
        <is>
          <t>Numbers 13:4-16 (13)</t>
        </is>
      </c>
      <c r="C49" s="3" t="inlineStr"/>
      <c r="D49" s="3" t="inlineStr"/>
    </row>
    <row r="50">
      <c r="A50" s="2" t="inlineStr">
        <is>
          <t>III</t>
        </is>
      </c>
      <c r="B50" s="3" t="inlineStr">
        <is>
          <t>Numbers 13:17-20 (4)</t>
        </is>
      </c>
      <c r="C50" s="3" t="inlineStr"/>
      <c r="D50" s="3" t="inlineStr"/>
    </row>
    <row r="51">
      <c r="A51" s="3" t="inlineStr"/>
      <c r="B51" s="3" t="inlineStr"/>
      <c r="C51" s="3" t="inlineStr"/>
      <c r="D51" s="3" t="inlineStr"/>
    </row>
    <row r="52">
      <c r="A52" s="1" t="inlineStr">
        <is>
          <t>Jul 01</t>
        </is>
      </c>
      <c r="B52" s="1" t="inlineStr">
        <is>
          <t>26 Sivan</t>
        </is>
      </c>
      <c r="C52" s="1" t="inlineStr">
        <is>
          <t>Sh'lach</t>
        </is>
      </c>
      <c r="D52" s="1" t="inlineStr">
        <is>
          <t>Thursday</t>
        </is>
      </c>
    </row>
    <row r="53">
      <c r="A53" s="2" t="inlineStr">
        <is>
          <t>I</t>
        </is>
      </c>
      <c r="B53" s="3" t="inlineStr">
        <is>
          <t>Numbers 13:1-3 (3)</t>
        </is>
      </c>
      <c r="C53" s="3" t="inlineStr"/>
      <c r="D53" s="3" t="inlineStr"/>
    </row>
    <row r="54">
      <c r="A54" s="2" t="inlineStr">
        <is>
          <t>II</t>
        </is>
      </c>
      <c r="B54" s="3" t="inlineStr">
        <is>
          <t>Numbers 13:4-16 (13)</t>
        </is>
      </c>
      <c r="C54" s="3" t="inlineStr"/>
      <c r="D54" s="3" t="inlineStr"/>
    </row>
    <row r="55">
      <c r="A55" s="2" t="inlineStr">
        <is>
          <t>III</t>
        </is>
      </c>
      <c r="B55" s="3" t="inlineStr">
        <is>
          <t>Numbers 13:17-20 (4)</t>
        </is>
      </c>
      <c r="C55" s="3" t="inlineStr"/>
      <c r="D55" s="3" t="inlineStr"/>
    </row>
    <row r="56">
      <c r="A56" s="3" t="inlineStr"/>
      <c r="B56" s="3" t="inlineStr"/>
      <c r="C56" s="3" t="inlineStr"/>
      <c r="D56" s="3" t="inlineStr"/>
    </row>
    <row r="57">
      <c r="A57" s="4" t="inlineStr">
        <is>
          <t>Jul 05</t>
        </is>
      </c>
      <c r="B57" s="4" t="inlineStr">
        <is>
          <t>30 Sivan</t>
        </is>
      </c>
      <c r="C57" s="4" t="inlineStr">
        <is>
          <t>Rosh Chodesh Tamuz</t>
        </is>
      </c>
      <c r="D57" s="4" t="inlineStr">
        <is>
          <t>Monday</t>
        </is>
      </c>
    </row>
    <row r="58">
      <c r="A58" s="2" t="inlineStr">
        <is>
          <t>I</t>
        </is>
      </c>
      <c r="B58" s="3" t="inlineStr">
        <is>
          <t>Numbers 28:1-3 (3)</t>
        </is>
      </c>
      <c r="C58" s="3" t="inlineStr"/>
      <c r="D58" s="3" t="inlineStr"/>
    </row>
    <row r="59">
      <c r="A59" s="2" t="inlineStr">
        <is>
          <t>II</t>
        </is>
      </c>
      <c r="B59" s="3" t="inlineStr">
        <is>
          <t>Numbers 28:3-5 (3)</t>
        </is>
      </c>
      <c r="C59" s="3" t="inlineStr"/>
      <c r="D59" s="3" t="inlineStr"/>
    </row>
    <row r="60">
      <c r="A60" s="2" t="inlineStr">
        <is>
          <t>III</t>
        </is>
      </c>
      <c r="B60" s="3" t="inlineStr">
        <is>
          <t>Numbers 28:6-10 (5)</t>
        </is>
      </c>
      <c r="C60" s="3" t="inlineStr"/>
      <c r="D60" s="3" t="inlineStr"/>
    </row>
    <row r="61">
      <c r="A61" s="2" t="inlineStr">
        <is>
          <t>IV</t>
        </is>
      </c>
      <c r="B61" s="3" t="inlineStr">
        <is>
          <t>Numbers 28:11-15 (5)</t>
        </is>
      </c>
      <c r="C61" s="3" t="inlineStr"/>
      <c r="D61" s="3" t="inlineStr"/>
    </row>
    <row r="62">
      <c r="A62" s="3" t="inlineStr"/>
      <c r="B62" s="3" t="inlineStr"/>
      <c r="C62" s="3" t="inlineStr"/>
      <c r="D62" s="3" t="inlineStr"/>
    </row>
    <row r="63">
      <c r="A63" s="4" t="inlineStr">
        <is>
          <t>Jul 06</t>
        </is>
      </c>
      <c r="B63" s="4" t="inlineStr">
        <is>
          <t>1 Tamuz</t>
        </is>
      </c>
      <c r="C63" s="4" t="inlineStr">
        <is>
          <t>Rosh Chodesh Tamuz</t>
        </is>
      </c>
      <c r="D63" s="4" t="inlineStr">
        <is>
          <t>Tuesday</t>
        </is>
      </c>
    </row>
    <row r="64">
      <c r="A64" s="2" t="inlineStr">
        <is>
          <t>I</t>
        </is>
      </c>
      <c r="B64" s="3" t="inlineStr">
        <is>
          <t>Numbers 28:1-3 (3)</t>
        </is>
      </c>
      <c r="C64" s="3" t="inlineStr"/>
      <c r="D64" s="3" t="inlineStr"/>
    </row>
    <row r="65">
      <c r="A65" s="2" t="inlineStr">
        <is>
          <t>II</t>
        </is>
      </c>
      <c r="B65" s="3" t="inlineStr">
        <is>
          <t>Numbers 28:3-5 (3)</t>
        </is>
      </c>
      <c r="C65" s="3" t="inlineStr"/>
      <c r="D65" s="3" t="inlineStr"/>
    </row>
    <row r="66">
      <c r="A66" s="2" t="inlineStr">
        <is>
          <t>III</t>
        </is>
      </c>
      <c r="B66" s="3" t="inlineStr">
        <is>
          <t>Numbers 28:6-10 (5)</t>
        </is>
      </c>
      <c r="C66" s="3" t="inlineStr"/>
      <c r="D66" s="3" t="inlineStr"/>
    </row>
    <row r="67">
      <c r="A67" s="2" t="inlineStr">
        <is>
          <t>IV</t>
        </is>
      </c>
      <c r="B67" s="3" t="inlineStr">
        <is>
          <t>Numbers 28:11-15 (5)</t>
        </is>
      </c>
      <c r="C67" s="3" t="inlineStr"/>
      <c r="D67" s="3" t="inlineStr"/>
    </row>
    <row r="68">
      <c r="A68" s="3" t="inlineStr"/>
      <c r="B68" s="3" t="inlineStr"/>
      <c r="C68" s="3" t="inlineStr"/>
      <c r="D68" s="3" t="inlineStr"/>
    </row>
    <row r="69">
      <c r="A69" s="1" t="inlineStr">
        <is>
          <t>Jul 08</t>
        </is>
      </c>
      <c r="B69" s="1" t="inlineStr">
        <is>
          <t>3 Tamuz</t>
        </is>
      </c>
      <c r="C69" s="1" t="inlineStr">
        <is>
          <t>Korach</t>
        </is>
      </c>
      <c r="D69" s="1" t="inlineStr">
        <is>
          <t>Thursday</t>
        </is>
      </c>
    </row>
    <row r="70">
      <c r="A70" s="2" t="inlineStr">
        <is>
          <t>I</t>
        </is>
      </c>
      <c r="B70" s="3" t="inlineStr">
        <is>
          <t>Numbers 16:1-3 (3)</t>
        </is>
      </c>
      <c r="C70" s="3" t="inlineStr"/>
      <c r="D70" s="3" t="inlineStr"/>
    </row>
    <row r="71">
      <c r="A71" s="2" t="inlineStr">
        <is>
          <t>II</t>
        </is>
      </c>
      <c r="B71" s="3" t="inlineStr">
        <is>
          <t>Numbers 16:4-7 (4)</t>
        </is>
      </c>
      <c r="C71" s="3" t="inlineStr"/>
      <c r="D71" s="3" t="inlineStr"/>
    </row>
    <row r="72">
      <c r="A72" s="2" t="inlineStr">
        <is>
          <t>III</t>
        </is>
      </c>
      <c r="B72" s="3" t="inlineStr">
        <is>
          <t>Numbers 16:8-13 (6)</t>
        </is>
      </c>
      <c r="C72" s="3" t="inlineStr"/>
      <c r="D72" s="3" t="inlineStr"/>
    </row>
    <row r="73">
      <c r="A73" s="3" t="inlineStr"/>
      <c r="B73" s="3" t="inlineStr"/>
      <c r="C73" s="3" t="inlineStr"/>
      <c r="D73" s="3" t="inlineStr"/>
    </row>
    <row r="74">
      <c r="A74" s="1" t="inlineStr">
        <is>
          <t>Jul 12</t>
        </is>
      </c>
      <c r="B74" s="1" t="inlineStr">
        <is>
          <t>7 Tamuz</t>
        </is>
      </c>
      <c r="C74" s="1" t="inlineStr">
        <is>
          <t>Chukat-Balak</t>
        </is>
      </c>
      <c r="D74" s="1" t="inlineStr">
        <is>
          <t>Monday</t>
        </is>
      </c>
    </row>
    <row r="75">
      <c r="A75" s="2" t="inlineStr">
        <is>
          <t>I</t>
        </is>
      </c>
      <c r="B75" s="3" t="inlineStr">
        <is>
          <t>Numbers 19:1-6 (6)</t>
        </is>
      </c>
      <c r="C75" s="3" t="inlineStr"/>
      <c r="D75" s="3" t="inlineStr"/>
    </row>
    <row r="76">
      <c r="A76" s="2" t="inlineStr">
        <is>
          <t>II</t>
        </is>
      </c>
      <c r="B76" s="3" t="inlineStr">
        <is>
          <t>Numbers 19:7-9 (3)</t>
        </is>
      </c>
      <c r="C76" s="3" t="inlineStr"/>
      <c r="D76" s="3" t="inlineStr"/>
    </row>
    <row r="77">
      <c r="A77" s="2" t="inlineStr">
        <is>
          <t>III</t>
        </is>
      </c>
      <c r="B77" s="3" t="inlineStr">
        <is>
          <t>Numbers 19:10-17 (8)</t>
        </is>
      </c>
      <c r="C77" s="3" t="inlineStr"/>
      <c r="D77" s="3" t="inlineStr"/>
    </row>
    <row r="78">
      <c r="A78" s="3" t="inlineStr"/>
      <c r="B78" s="3" t="inlineStr"/>
      <c r="C78" s="3" t="inlineStr"/>
      <c r="D78" s="3" t="inlineStr"/>
    </row>
    <row r="79">
      <c r="A79" s="1" t="inlineStr">
        <is>
          <t>Jul 15</t>
        </is>
      </c>
      <c r="B79" s="1" t="inlineStr">
        <is>
          <t>10 Tamuz</t>
        </is>
      </c>
      <c r="C79" s="1" t="inlineStr">
        <is>
          <t>Chukat-Balak</t>
        </is>
      </c>
      <c r="D79" s="1" t="inlineStr">
        <is>
          <t>Thursday</t>
        </is>
      </c>
    </row>
    <row r="80">
      <c r="A80" s="2" t="inlineStr">
        <is>
          <t>I</t>
        </is>
      </c>
      <c r="B80" s="3" t="inlineStr">
        <is>
          <t>Numbers 19:1-6 (6)</t>
        </is>
      </c>
      <c r="C80" s="3" t="inlineStr"/>
      <c r="D80" s="3" t="inlineStr"/>
    </row>
    <row r="81">
      <c r="A81" s="2" t="inlineStr">
        <is>
          <t>II</t>
        </is>
      </c>
      <c r="B81" s="3" t="inlineStr">
        <is>
          <t>Numbers 19:7-9 (3)</t>
        </is>
      </c>
      <c r="C81" s="3" t="inlineStr"/>
      <c r="D81" s="3" t="inlineStr"/>
    </row>
    <row r="82">
      <c r="A82" s="2" t="inlineStr">
        <is>
          <t>III</t>
        </is>
      </c>
      <c r="B82" s="3" t="inlineStr">
        <is>
          <t>Numbers 19:10-17 (8)</t>
        </is>
      </c>
      <c r="C82" s="3" t="inlineStr"/>
      <c r="D82" s="3" t="inlineStr"/>
    </row>
    <row r="83">
      <c r="A83" s="3" t="inlineStr"/>
      <c r="B83" s="3" t="inlineStr"/>
      <c r="C83" s="3" t="inlineStr"/>
      <c r="D83" s="3" t="inlineStr"/>
    </row>
    <row r="84">
      <c r="A84" s="1" t="inlineStr">
        <is>
          <t>Jul 19</t>
        </is>
      </c>
      <c r="B84" s="1" t="inlineStr">
        <is>
          <t>14 Tamuz</t>
        </is>
      </c>
      <c r="C84" s="1" t="inlineStr">
        <is>
          <t>Pinchas</t>
        </is>
      </c>
      <c r="D84" s="1" t="inlineStr">
        <is>
          <t>Monday</t>
        </is>
      </c>
    </row>
    <row r="85">
      <c r="A85" s="2" t="inlineStr">
        <is>
          <t>I</t>
        </is>
      </c>
      <c r="B85" s="3" t="inlineStr">
        <is>
          <t>Numbers 25:10-12 (3)</t>
        </is>
      </c>
      <c r="C85" s="3" t="inlineStr"/>
      <c r="D85" s="3" t="inlineStr"/>
    </row>
    <row r="86">
      <c r="A86" s="2" t="inlineStr">
        <is>
          <t>II</t>
        </is>
      </c>
      <c r="B86" s="3" t="inlineStr">
        <is>
          <t>Numbers 25:13-15 (3)</t>
        </is>
      </c>
      <c r="C86" s="3" t="inlineStr"/>
      <c r="D86" s="3" t="inlineStr"/>
    </row>
    <row r="87">
      <c r="A87" s="2" t="inlineStr">
        <is>
          <t>III</t>
        </is>
      </c>
      <c r="B87" s="3" t="inlineStr">
        <is>
          <t>Numbers 25:16-26:4 (8)</t>
        </is>
      </c>
      <c r="C87" s="3" t="inlineStr"/>
      <c r="D87" s="3" t="inlineStr"/>
    </row>
    <row r="88">
      <c r="A88" s="3" t="inlineStr"/>
      <c r="B88" s="3" t="inlineStr"/>
      <c r="C88" s="3" t="inlineStr"/>
      <c r="D88" s="3" t="inlineStr"/>
    </row>
    <row r="89">
      <c r="A89" s="1" t="inlineStr">
        <is>
          <t>Jul 26</t>
        </is>
      </c>
      <c r="B89" s="1" t="inlineStr">
        <is>
          <t>21 Tamuz</t>
        </is>
      </c>
      <c r="C89" s="1" t="inlineStr">
        <is>
          <t>Matot-Masei</t>
        </is>
      </c>
      <c r="D89" s="1" t="inlineStr">
        <is>
          <t>Monday</t>
        </is>
      </c>
    </row>
    <row r="90">
      <c r="A90" s="2" t="inlineStr">
        <is>
          <t>I</t>
        </is>
      </c>
      <c r="B90" s="3" t="inlineStr">
        <is>
          <t>Numbers 30:2-9 (8)</t>
        </is>
      </c>
      <c r="C90" s="3" t="inlineStr"/>
      <c r="D90" s="3" t="inlineStr"/>
    </row>
    <row r="91">
      <c r="A91" s="2" t="inlineStr">
        <is>
          <t>II</t>
        </is>
      </c>
      <c r="B91" s="3" t="inlineStr">
        <is>
          <t>Numbers 30:10-13 (4)</t>
        </is>
      </c>
      <c r="C91" s="3" t="inlineStr"/>
      <c r="D91" s="3" t="inlineStr"/>
    </row>
    <row r="92">
      <c r="A92" s="2" t="inlineStr">
        <is>
          <t>III</t>
        </is>
      </c>
      <c r="B92" s="3" t="inlineStr">
        <is>
          <t>Numbers 30:14-17 (4)</t>
        </is>
      </c>
      <c r="C92" s="3" t="inlineStr"/>
      <c r="D92" s="3" t="inlineStr"/>
    </row>
    <row r="93">
      <c r="A93" s="3" t="inlineStr"/>
      <c r="B93" s="3" t="inlineStr"/>
      <c r="C93" s="3" t="inlineStr"/>
      <c r="D93" s="3" t="inlineStr"/>
    </row>
    <row r="94">
      <c r="A94" s="1" t="inlineStr">
        <is>
          <t>Jul 29</t>
        </is>
      </c>
      <c r="B94" s="1" t="inlineStr">
        <is>
          <t>24 Tamuz</t>
        </is>
      </c>
      <c r="C94" s="1" t="inlineStr">
        <is>
          <t>Matot-Masei</t>
        </is>
      </c>
      <c r="D94" s="1" t="inlineStr">
        <is>
          <t>Thursday</t>
        </is>
      </c>
    </row>
    <row r="95">
      <c r="A95" s="2" t="inlineStr">
        <is>
          <t>I</t>
        </is>
      </c>
      <c r="B95" s="3" t="inlineStr">
        <is>
          <t>Numbers 30:2-9 (8)</t>
        </is>
      </c>
      <c r="C95" s="3" t="inlineStr"/>
      <c r="D95" s="3" t="inlineStr"/>
    </row>
    <row r="96">
      <c r="A96" s="2" t="inlineStr">
        <is>
          <t>II</t>
        </is>
      </c>
      <c r="B96" s="3" t="inlineStr">
        <is>
          <t>Numbers 30:10-13 (4)</t>
        </is>
      </c>
      <c r="C96" s="3" t="inlineStr"/>
      <c r="D96" s="3" t="inlineStr"/>
    </row>
    <row r="97">
      <c r="A97" s="2" t="inlineStr">
        <is>
          <t>III</t>
        </is>
      </c>
      <c r="B97" s="3" t="inlineStr">
        <is>
          <t>Numbers 30:14-17 (4)</t>
        </is>
      </c>
      <c r="C97" s="3" t="inlineStr"/>
      <c r="D97" s="3" t="inlineStr"/>
    </row>
    <row r="98">
      <c r="A98" s="3" t="inlineStr"/>
      <c r="B98" s="3" t="inlineStr"/>
      <c r="C98" s="3" t="inlineStr"/>
      <c r="D9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Bamidbar</t>
        </is>
      </c>
      <c r="C1" s="5" t="inlineStr"/>
      <c r="D1" s="5" t="inlineStr">
        <is>
          <t>June 5</t>
        </is>
      </c>
      <c r="E1" s="5" t="inlineStr">
        <is>
          <t>Iyyar 29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Shabbat Machar Chodesh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June 4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hyperlink("https://myvirtualtikkun.com/?shul=cbssf&amp;view=both&amp;scroll="&amp;$B$13&amp;"&amp;parsha=Bamidbar",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- 163 verses (parsha=159)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hyperlink("https://myvirtualtikkun.com/?shul=cbssf&amp;scroll="&amp;$B$13&amp;"&amp;parsha=Bamidbar&amp;aliyah=A1", "I")</f>
        <v/>
      </c>
      <c r="B15" s="10" t="inlineStr">
        <is>
          <t>Numbers 1:1-19 (19)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hyperlink("https://myvirtualtikkun.com/?shul=cbssf&amp;scroll="&amp;$B$13&amp;"&amp;parsha=Bamidbar&amp;aliyah=A2", "II")</f>
        <v/>
      </c>
      <c r="B16" s="12" t="inlineStr">
        <is>
          <t>Numbers 1:20-54 (35)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hyperlink("https://myvirtualtikkun.com/?shul=cbssf&amp;scroll="&amp;$B$13&amp;"&amp;parsha=Bamidbar&amp;aliyah=A3", "III")</f>
        <v/>
      </c>
      <c r="B17" s="14" t="inlineStr">
        <is>
          <t>Numbers 2:1-34 (34)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hyperlink("https://myvirtualtikkun.com/?shul=cbssf&amp;scroll="&amp;$B$13&amp;"&amp;parsha=Bamidbar&amp;aliyah=A4", "IV")</f>
        <v/>
      </c>
      <c r="B18" s="10" t="inlineStr">
        <is>
          <t>Numbers 3:1-13 (13)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hyperlink("https://myvirtualtikkun.com/?shul=cbssf&amp;scroll="&amp;$B$13&amp;"&amp;parsha=Bamidbar&amp;aliyah=A5", "V")</f>
        <v/>
      </c>
      <c r="B19" s="12" t="inlineStr">
        <is>
          <t>Numbers 3:14-39 (26)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hyperlink("https://myvirtualtikkun.com/?shul=cbssf&amp;scroll="&amp;$B$13&amp;"&amp;parsha=Bamidbar&amp;aliyah=A6", "VI")</f>
        <v/>
      </c>
      <c r="B20" s="14" t="inlineStr">
        <is>
          <t>Numbers 3:40-51 (12)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hyperlink("https://myvirtualtikkun.com/?shul=cbssf&amp;scroll="&amp;$B$13&amp;"&amp;parsha=Bamidbar&amp;aliyah=A7", "VII")</f>
        <v/>
      </c>
      <c r="B21" s="10" t="inlineStr">
        <is>
          <t>Numbers 4:1-20 (20)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hyperlink("https://myvirtualtikkun.com/?shul=cbssf&amp;scroll="&amp;$B$13&amp;"&amp;parsha=Bamidbar&amp;aliyah=M", "Maf")</f>
        <v/>
      </c>
      <c r="B22" s="12" t="inlineStr">
        <is>
          <t>Numbers 4:17-20 (4)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1 Samuel 20:18-29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747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1216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Shavuot I</t>
        </is>
      </c>
      <c r="C1" s="5" t="inlineStr"/>
      <c r="D1" s="5" t="inlineStr">
        <is>
          <t>June 11</t>
        </is>
      </c>
      <c r="E1" s="5" t="inlineStr">
        <is>
          <t>Sivan 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June 10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hyperlink("https://myvirtualtikkun.com/?shul=cbssf&amp;view=both&amp;scroll="&amp;$B$13&amp;"&amp;parsha=Shavuot 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- 54 verses (parsha=48)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hyperlink("https://myvirtualtikkun.com/?shul=cbssf&amp;scroll="&amp;$B$13&amp;"&amp;parsha=Shavuot I&amp;aliyah=A1", "I")</f>
        <v/>
      </c>
      <c r="B15" s="10" t="inlineStr">
        <is>
          <t>Exodus 19:1-6 (6)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hyperlink("https://myvirtualtikkun.com/?shul=cbssf&amp;scroll="&amp;$B$13&amp;"&amp;parsha=Shavuot I&amp;aliyah=A2", "II")</f>
        <v/>
      </c>
      <c r="B16" s="12" t="inlineStr">
        <is>
          <t>Exodus 19:7-13 (7)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hyperlink("https://myvirtualtikkun.com/?shul=cbssf&amp;scroll="&amp;$B$13&amp;"&amp;parsha=Shavuot I&amp;aliyah=A3", "III")</f>
        <v/>
      </c>
      <c r="B17" s="14" t="inlineStr">
        <is>
          <t>Exodus 19:14-19 (6)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hyperlink("https://myvirtualtikkun.com/?shul=cbssf&amp;scroll="&amp;$B$13&amp;"&amp;parsha=Shavuot I&amp;aliyah=A4", "IV")</f>
        <v/>
      </c>
      <c r="B18" s="10" t="inlineStr">
        <is>
          <t>Exodus 19:20-20:14 (20)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hyperlink("https://myvirtualtikkun.com/?shul=cbssf&amp;scroll="&amp;$B$13&amp;"&amp;parsha=Shavuot I&amp;aliyah=A5", "V")</f>
        <v/>
      </c>
      <c r="B19" s="12" t="inlineStr">
        <is>
          <t>Exodus 20:15-23 (9)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hyperlink("https://myvirtualtikkun.com/?shul=cbssf&amp;scroll="&amp;$B$13&amp;"&amp;parsha=Shavuot I&amp;aliyah=M", "Maf")</f>
        <v/>
      </c>
      <c r="B20" s="14" t="inlineStr">
        <is>
          <t>Numbers 28:26-31 (6)</t>
        </is>
      </c>
      <c r="C20" s="14" t="inlineStr"/>
      <c r="D20" s="3" t="inlineStr"/>
      <c r="E20" s="3" t="inlineStr"/>
      <c r="F20" s="3" t="inlineStr"/>
    </row>
    <row r="21">
      <c r="A21" s="9" t="inlineStr">
        <is>
          <t>Haf</t>
        </is>
      </c>
      <c r="B21" s="10" t="inlineStr">
        <is>
          <t>Ezekiel 1:1-1:28, 3:12-3:12 (29)</t>
        </is>
      </c>
      <c r="C21" s="10" t="inlineStr"/>
      <c r="D21" s="3" t="inlineStr"/>
      <c r="E21" s="3" t="inlineStr"/>
      <c r="F21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7" t="inlineStr"/>
      <c r="B24" s="7" t="inlineStr">
        <is>
          <t>Honors</t>
        </is>
      </c>
      <c r="C24" s="3" t="inlineStr"/>
      <c r="D24" s="7" t="inlineStr">
        <is>
          <t>Etz Hayyim</t>
        </is>
      </c>
      <c r="E24" s="3" t="inlineStr"/>
      <c r="F24" s="3" t="inlineStr"/>
    </row>
    <row r="25">
      <c r="A25" s="3" t="inlineStr">
        <is>
          <t>P'ticha 1</t>
        </is>
      </c>
      <c r="B25" s="3" t="inlineStr"/>
      <c r="C25" s="3" t="inlineStr"/>
      <c r="D25" s="3" t="inlineStr">
        <is>
          <t>Torah page</t>
        </is>
      </c>
      <c r="E25" s="3" t="inlineStr"/>
      <c r="F25" s="3" t="inlineStr"/>
    </row>
    <row r="26">
      <c r="A26" s="3" t="inlineStr">
        <is>
          <t>P'ticha 2</t>
        </is>
      </c>
      <c r="B26" s="3" t="inlineStr"/>
      <c r="C26" s="3" t="inlineStr"/>
      <c r="D26" s="3" t="inlineStr">
        <is>
          <t>Haftarah page</t>
        </is>
      </c>
      <c r="E26" s="3" t="inlineStr"/>
      <c r="F26" s="3" t="inlineStr"/>
    </row>
    <row r="27">
      <c r="A27" s="3" t="inlineStr">
        <is>
          <t>Hagbah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G'lilah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Prayer for Country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Prayer for Israel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Peace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Anim Zmerot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Adon Olam</t>
        </is>
      </c>
      <c r="B33" s="3" t="inlineStr"/>
      <c r="C33" s="3" t="inlineStr"/>
      <c r="D33" s="3" t="inlineStr"/>
      <c r="E33" s="3" t="inlineStr"/>
      <c r="F3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Shavuot II (on Shabbat)</t>
        </is>
      </c>
      <c r="C1" s="5" t="inlineStr"/>
      <c r="D1" s="5" t="inlineStr">
        <is>
          <t>June 12</t>
        </is>
      </c>
      <c r="E1" s="5" t="inlineStr">
        <is>
          <t>Sivan 7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June 11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hyperlink("https://myvirtualtikkun.com/?shul=cbssf&amp;view=both&amp;scroll="&amp;$B$13&amp;"&amp;parsha=Shavuot II (on Shabbat)",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- 54 verses (parsha=48)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hyperlink("https://myvirtualtikkun.com/?shul=cbssf&amp;scroll="&amp;$B$13&amp;"&amp;parsha=Shavuot II (on Shabbat)&amp;aliyah=A1", "I")</f>
        <v/>
      </c>
      <c r="B15" s="10" t="inlineStr">
        <is>
          <t>Deuteronomy 14:22-29 (8)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hyperlink("https://myvirtualtikkun.com/?shul=cbssf&amp;scroll="&amp;$B$13&amp;"&amp;parsha=Shavuot II (on Shabbat)&amp;aliyah=A2", "II")</f>
        <v/>
      </c>
      <c r="B16" s="12" t="inlineStr">
        <is>
          <t>Deuteronomy 15:1-18 (18)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hyperlink("https://myvirtualtikkun.com/?shul=cbssf&amp;scroll="&amp;$B$13&amp;"&amp;parsha=Shavuot II (on Shabbat)&amp;aliyah=A3", "III")</f>
        <v/>
      </c>
      <c r="B17" s="14" t="inlineStr">
        <is>
          <t>Deuteronomy 15:19-23 (5)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hyperlink("https://myvirtualtikkun.com/?shul=cbssf&amp;scroll="&amp;$B$13&amp;"&amp;parsha=Shavuot II (on Shabbat)&amp;aliyah=A4", "IV")</f>
        <v/>
      </c>
      <c r="B18" s="10" t="inlineStr">
        <is>
          <t>Deuteronomy 16:1-3 (3)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hyperlink("https://myvirtualtikkun.com/?shul=cbssf&amp;scroll="&amp;$B$13&amp;"&amp;parsha=Shavuot II (on Shabbat)&amp;aliyah=A5", "V")</f>
        <v/>
      </c>
      <c r="B19" s="12" t="inlineStr">
        <is>
          <t>Deuteronomy 16:4-8 (5)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hyperlink("https://myvirtualtikkun.com/?shul=cbssf&amp;scroll="&amp;$B$13&amp;"&amp;parsha=Shavuot II (on Shabbat)&amp;aliyah=A6", "VI")</f>
        <v/>
      </c>
      <c r="B20" s="14" t="inlineStr">
        <is>
          <t>Deuteronomy 16:9-12 (4)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hyperlink("https://myvirtualtikkun.com/?shul=cbssf&amp;scroll="&amp;$B$13&amp;"&amp;parsha=Shavuot II (on Shabbat)&amp;aliyah=A7", "VII")</f>
        <v/>
      </c>
      <c r="B21" s="10" t="inlineStr">
        <is>
          <t>Deuteronomy 16:13-17 (5)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hyperlink("https://myvirtualtikkun.com/?shul=cbssf&amp;scroll="&amp;$B$13&amp;"&amp;parsha=Shavuot II (on Shabbat)&amp;aliyah=M", "Maf")</f>
        <v/>
      </c>
      <c r="B22" s="12" t="inlineStr">
        <is>
          <t>Numbers 28:26-31 (6)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Habakkuk 3:1-3:19 (19)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Nasso</t>
        </is>
      </c>
      <c r="C1" s="5" t="inlineStr"/>
      <c r="D1" s="5" t="inlineStr">
        <is>
          <t>June 19</t>
        </is>
      </c>
      <c r="E1" s="5" t="inlineStr">
        <is>
          <t>Sivan 14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June 18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hyperlink("https://myvirtualtikkun.com/?shul=cbssf&amp;view=both&amp;scroll="&amp;$B$13&amp;"&amp;parsha=Nasso",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- 179 verses (parsha=176)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hyperlink("https://myvirtualtikkun.com/?shul=cbssf&amp;scroll="&amp;$B$13&amp;"&amp;parsha=Nasso&amp;aliyah=A1", "I")</f>
        <v/>
      </c>
      <c r="B15" s="10" t="inlineStr">
        <is>
          <t>Numbers 4:21-37 (17)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hyperlink("https://myvirtualtikkun.com/?shul=cbssf&amp;scroll="&amp;$B$13&amp;"&amp;parsha=Nasso&amp;aliyah=A2", "II")</f>
        <v/>
      </c>
      <c r="B16" s="12" t="inlineStr">
        <is>
          <t>Numbers 4:38-49 (12)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hyperlink("https://myvirtualtikkun.com/?shul=cbssf&amp;scroll="&amp;$B$13&amp;"&amp;parsha=Nasso&amp;aliyah=A3", "III")</f>
        <v/>
      </c>
      <c r="B17" s="14" t="inlineStr">
        <is>
          <t>Numbers 5:1-10 (10)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hyperlink("https://myvirtualtikkun.com/?shul=cbssf&amp;scroll="&amp;$B$13&amp;"&amp;parsha=Nasso&amp;aliyah=A4", "IV")</f>
        <v/>
      </c>
      <c r="B18" s="10" t="inlineStr">
        <is>
          <t>Numbers 5:11-6:27 (48)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hyperlink("https://myvirtualtikkun.com/?shul=cbssf&amp;scroll="&amp;$B$13&amp;"&amp;parsha=Nasso&amp;aliyah=A5", "V")</f>
        <v/>
      </c>
      <c r="B19" s="12" t="inlineStr">
        <is>
          <t>Numbers 7:1-41 (41)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hyperlink("https://myvirtualtikkun.com/?shul=cbssf&amp;scroll="&amp;$B$13&amp;"&amp;parsha=Nasso&amp;aliyah=A6", "VI")</f>
        <v/>
      </c>
      <c r="B20" s="14" t="inlineStr">
        <is>
          <t>Numbers 7:42-71 (30)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hyperlink("https://myvirtualtikkun.com/?shul=cbssf&amp;scroll="&amp;$B$13&amp;"&amp;parsha=Nasso&amp;aliyah=A7", "VII")</f>
        <v/>
      </c>
      <c r="B21" s="10" t="inlineStr">
        <is>
          <t>Numbers 7:72-89 (18)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hyperlink("https://myvirtualtikkun.com/?shul=cbssf&amp;scroll="&amp;$B$13&amp;"&amp;parsha=Nasso&amp;aliyah=M", "Maf")</f>
        <v/>
      </c>
      <c r="B22" s="12" t="inlineStr">
        <is>
          <t>Numbers 7:87-89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Judges 13:17 - 25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791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814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Beha'alotcha</t>
        </is>
      </c>
      <c r="C1" s="5" t="inlineStr"/>
      <c r="D1" s="5" t="inlineStr">
        <is>
          <t>June 26</t>
        </is>
      </c>
      <c r="E1" s="5" t="inlineStr">
        <is>
          <t>Sivan 21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June 25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hyperlink("https://myvirtualtikkun.com/?shul=cbssf&amp;view=both&amp;scroll="&amp;$B$13&amp;"&amp;parsha=Beha'alotcha",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- 139 verses (parsha=136)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hyperlink("https://myvirtualtikkun.com/?shul=cbssf&amp;scroll="&amp;$B$13&amp;"&amp;parsha=Beha'alotcha&amp;aliyah=A1", "I")</f>
        <v/>
      </c>
      <c r="B15" s="10" t="inlineStr">
        <is>
          <t>Numbers 8:1-14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hyperlink("https://myvirtualtikkun.com/?shul=cbssf&amp;scroll="&amp;$B$13&amp;"&amp;parsha=Beha'alotcha&amp;aliyah=A2", "II")</f>
        <v/>
      </c>
      <c r="B16" s="12" t="inlineStr">
        <is>
          <t>Numbers 8:15-26 (12)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hyperlink("https://myvirtualtikkun.com/?shul=cbssf&amp;scroll="&amp;$B$13&amp;"&amp;parsha=Beha'alotcha&amp;aliyah=A3", "III")</f>
        <v/>
      </c>
      <c r="B17" s="14" t="inlineStr">
        <is>
          <t>Numbers 9:1-14 (14)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hyperlink("https://myvirtualtikkun.com/?shul=cbssf&amp;scroll="&amp;$B$13&amp;"&amp;parsha=Beha'alotcha&amp;aliyah=A4", "IV")</f>
        <v/>
      </c>
      <c r="B18" s="10" t="inlineStr">
        <is>
          <t>Numbers 9:15-10:10 (19)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hyperlink("https://myvirtualtikkun.com/?shul=cbssf&amp;scroll="&amp;$B$13&amp;"&amp;parsha=Beha'alotcha&amp;aliyah=A5", "V")</f>
        <v/>
      </c>
      <c r="B19" s="12" t="inlineStr">
        <is>
          <t>Numbers 10:11-34 (24)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hyperlink("https://myvirtualtikkun.com/?shul=cbssf&amp;scroll="&amp;$B$13&amp;"&amp;parsha=Beha'alotcha&amp;aliyah=A6", "VI")</f>
        <v/>
      </c>
      <c r="B20" s="14" t="inlineStr">
        <is>
          <t>Numbers 10:35-11:29 (31)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hyperlink("https://myvirtualtikkun.com/?shul=cbssf&amp;scroll="&amp;$B$13&amp;"&amp;parsha=Beha'alotcha&amp;aliyah=A7", "VII")</f>
        <v/>
      </c>
      <c r="B21" s="10" t="inlineStr">
        <is>
          <t>Numbers 11:30-12:16 (22)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hyperlink("https://myvirtualtikkun.com/?shul=cbssf&amp;scroll="&amp;$B$13&amp;"&amp;parsha=Beha'alotcha&amp;aliyah=M", "Maf")</f>
        <v/>
      </c>
      <c r="B22" s="12" t="inlineStr">
        <is>
          <t>Numbers 12:14-16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Zechariah 3:6–4:7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816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838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Sh'lach</t>
        </is>
      </c>
      <c r="C1" s="5" t="inlineStr"/>
      <c r="D1" s="5" t="inlineStr">
        <is>
          <t>July 3</t>
        </is>
      </c>
      <c r="E1" s="5" t="inlineStr">
        <is>
          <t>Sivan 28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hyperlink("https://myvirtualtikkun.com/?shul=cbssf&amp;view=both&amp;scroll="&amp;$B$13&amp;"&amp;parsha=Sh'lach",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- 124 verses (parsha=119)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hyperlink("https://myvirtualtikkun.com/?shul=cbssf&amp;scroll="&amp;$B$13&amp;"&amp;parsha=Sh'lach&amp;aliyah=A1", "I")</f>
        <v/>
      </c>
      <c r="B15" s="10" t="inlineStr">
        <is>
          <t>Numbers 13:1-20 (20)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hyperlink("https://myvirtualtikkun.com/?shul=cbssf&amp;scroll="&amp;$B$13&amp;"&amp;parsha=Sh'lach&amp;aliyah=A2", "II")</f>
        <v/>
      </c>
      <c r="B16" s="12" t="inlineStr">
        <is>
          <t>Numbers 13:21-14:7 (20)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hyperlink("https://myvirtualtikkun.com/?shul=cbssf&amp;scroll="&amp;$B$13&amp;"&amp;parsha=Sh'lach&amp;aliyah=A3", "III")</f>
        <v/>
      </c>
      <c r="B17" s="14" t="inlineStr">
        <is>
          <t>Numbers 14:8-25 (18)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hyperlink("https://myvirtualtikkun.com/?shul=cbssf&amp;scroll="&amp;$B$13&amp;"&amp;parsha=Sh'lach&amp;aliyah=A4", "IV")</f>
        <v/>
      </c>
      <c r="B18" s="10" t="inlineStr">
        <is>
          <t>Numbers 14:26-15:7 (27)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hyperlink("https://myvirtualtikkun.com/?shul=cbssf&amp;scroll="&amp;$B$13&amp;"&amp;parsha=Sh'lach&amp;aliyah=A5", "V")</f>
        <v/>
      </c>
      <c r="B19" s="12" t="inlineStr">
        <is>
          <t>Numbers 15:8-16 (9)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hyperlink("https://myvirtualtikkun.com/?shul=cbssf&amp;scroll="&amp;$B$13&amp;"&amp;parsha=Sh'lach&amp;aliyah=A6", "VI")</f>
        <v/>
      </c>
      <c r="B20" s="14" t="inlineStr">
        <is>
          <t>Numbers 15:17-26 (10)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hyperlink("https://myvirtualtikkun.com/?shul=cbssf&amp;scroll="&amp;$B$13&amp;"&amp;parsha=Sh'lach&amp;aliyah=A7", "VII")</f>
        <v/>
      </c>
      <c r="B21" s="10" t="inlineStr">
        <is>
          <t>Numbers 15:27-41 (15)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hyperlink("https://myvirtualtikkun.com/?shul=cbssf&amp;scroll="&amp;$B$13&amp;"&amp;parsha=Sh'lach&amp;aliyah=M", "Maf")</f>
        <v/>
      </c>
      <c r="B22" s="12" t="inlineStr">
        <is>
          <t>Numbers 15:37-41 (5)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Joshua 2:1–7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840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857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Korach</t>
        </is>
      </c>
      <c r="C1" s="5" t="inlineStr"/>
      <c r="D1" s="5" t="inlineStr">
        <is>
          <t>July 10</t>
        </is>
      </c>
      <c r="E1" s="5" t="inlineStr">
        <is>
          <t>Tamuz 5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9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hyperlink("https://myvirtualtikkun.com/?shul=cbssf&amp;view=both&amp;scroll="&amp;$B$13&amp;"&amp;parsha=Korach",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- 98 verses (parsha=95)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hyperlink("https://myvirtualtikkun.com/?shul=cbssf&amp;scroll="&amp;$B$13&amp;"&amp;parsha=Korach&amp;aliyah=A1", "I")</f>
        <v/>
      </c>
      <c r="B15" s="10" t="inlineStr">
        <is>
          <t>Numbers 16:1-13 (13)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hyperlink("https://myvirtualtikkun.com/?shul=cbssf&amp;scroll="&amp;$B$13&amp;"&amp;parsha=Korach&amp;aliyah=A2", "II")</f>
        <v/>
      </c>
      <c r="B16" s="12" t="inlineStr">
        <is>
          <t>Numbers 16:14-19 (6)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hyperlink("https://myvirtualtikkun.com/?shul=cbssf&amp;scroll="&amp;$B$13&amp;"&amp;parsha=Korach&amp;aliyah=A3", "III")</f>
        <v/>
      </c>
      <c r="B17" s="14" t="inlineStr">
        <is>
          <t>Numbers 16:20-17:8 (24)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hyperlink("https://myvirtualtikkun.com/?shul=cbssf&amp;scroll="&amp;$B$13&amp;"&amp;parsha=Korach&amp;aliyah=A4", "IV")</f>
        <v/>
      </c>
      <c r="B18" s="10" t="inlineStr">
        <is>
          <t>Numbers 17:9-15 (7)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hyperlink("https://myvirtualtikkun.com/?shul=cbssf&amp;scroll="&amp;$B$13&amp;"&amp;parsha=Korach&amp;aliyah=A5", "V")</f>
        <v/>
      </c>
      <c r="B19" s="12" t="inlineStr">
        <is>
          <t>Numbers 17:16-24 (9)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hyperlink("https://myvirtualtikkun.com/?shul=cbssf&amp;scroll="&amp;$B$13&amp;"&amp;parsha=Korach&amp;aliyah=A6", "VI")</f>
        <v/>
      </c>
      <c r="B20" s="14" t="inlineStr">
        <is>
          <t>Numbers 17:25-18:20 (24)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hyperlink("https://myvirtualtikkun.com/?shul=cbssf&amp;scroll="&amp;$B$13&amp;"&amp;parsha=Korach&amp;aliyah=A7", "VII")</f>
        <v/>
      </c>
      <c r="B21" s="10" t="inlineStr">
        <is>
          <t>Numbers 18:21-32 (12)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hyperlink("https://myvirtualtikkun.com/?shul=cbssf&amp;scroll="&amp;$B$13&amp;"&amp;parsha=Korach&amp;aliyah=M", "Maf")</f>
        <v/>
      </c>
      <c r="B22" s="12" t="inlineStr">
        <is>
          <t>Numbers 18:30-32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1 Samuel 12:13-22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860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878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Chukat-Balak</t>
        </is>
      </c>
      <c r="C1" s="5" t="inlineStr"/>
      <c r="D1" s="5" t="inlineStr">
        <is>
          <t>July 17</t>
        </is>
      </c>
      <c r="E1" s="5" t="inlineStr">
        <is>
          <t>Tamuz 12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16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hyperlink("https://myvirtualtikkun.com/?shul=cbssf&amp;view=both&amp;scroll="&amp;$B$13&amp;"&amp;parsha=Chukat-Balak",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- 194 verses (parsha=191)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hyperlink("https://myvirtualtikkun.com/?shul=cbssf&amp;scroll="&amp;$B$13&amp;"&amp;parsha=Chukat-Balak&amp;aliyah=A1", "I")</f>
        <v/>
      </c>
      <c r="B15" s="10" t="inlineStr">
        <is>
          <t>Numbers 19:1-20:6 (28)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hyperlink("https://myvirtualtikkun.com/?shul=cbssf&amp;scroll="&amp;$B$13&amp;"&amp;parsha=Chukat-Balak&amp;aliyah=A2", "II")</f>
        <v/>
      </c>
      <c r="B16" s="12" t="inlineStr">
        <is>
          <t>Numbers 20:7-21 (15)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hyperlink("https://myvirtualtikkun.com/?shul=cbssf&amp;scroll="&amp;$B$13&amp;"&amp;parsha=Chukat-Balak&amp;aliyah=A3", "III")</f>
        <v/>
      </c>
      <c r="B17" s="14" t="inlineStr">
        <is>
          <t>Numbers 20:22-21:20 (28)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hyperlink("https://myvirtualtikkun.com/?shul=cbssf&amp;scroll="&amp;$B$13&amp;"&amp;parsha=Chukat-Balak&amp;aliyah=A4", "IV")</f>
        <v/>
      </c>
      <c r="B18" s="10" t="inlineStr">
        <is>
          <t>Numbers 21:21-22:12 (27)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hyperlink("https://myvirtualtikkun.com/?shul=cbssf&amp;scroll="&amp;$B$13&amp;"&amp;parsha=Chukat-Balak&amp;aliyah=A5", "V")</f>
        <v/>
      </c>
      <c r="B19" s="12" t="inlineStr">
        <is>
          <t>Numbers 22:13-38 (26)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hyperlink("https://myvirtualtikkun.com/?shul=cbssf&amp;scroll="&amp;$B$13&amp;"&amp;parsha=Chukat-Balak&amp;aliyah=A6", "VI")</f>
        <v/>
      </c>
      <c r="B20" s="14" t="inlineStr">
        <is>
          <t>Numbers 22:39-23:26 (29)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hyperlink("https://myvirtualtikkun.com/?shul=cbssf&amp;scroll="&amp;$B$13&amp;"&amp;parsha=Chukat-Balak&amp;aliyah=A7", "VII")</f>
        <v/>
      </c>
      <c r="B21" s="10" t="inlineStr">
        <is>
          <t>Numbers 23:27-25:9 (38)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hyperlink("https://myvirtualtikkun.com/?shul=cbssf&amp;scroll="&amp;$B$13&amp;"&amp;parsha=Chukat-Balak&amp;aliyah=M", "Maf")</f>
        <v/>
      </c>
      <c r="B22" s="12" t="inlineStr">
        <is>
          <t>Numbers 25:7-9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Micah 6:1-8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880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915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Tzom Tammuz</t>
        </is>
      </c>
      <c r="C1" s="5" t="inlineStr"/>
      <c r="D1" s="5" t="inlineStr">
        <is>
          <t>July 22</t>
        </is>
      </c>
      <c r="E1" s="5" t="inlineStr">
        <is>
          <t>Tamuz 17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hyperlink("https://myvirtualtikkun.com/?shul=cbssf&amp;view=both&amp;scroll="&amp;$B$13&amp;"&amp;parsha=Tzom Tammuz",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(parsha=14)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hyperlink("https://myvirtualtikkun.com/?shul=cbssf&amp;scroll="&amp;$B$13&amp;"&amp;parsha=Tzom Tammuz&amp;aliyah=A1",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hyperlink("https://myvirtualtikkun.com/?shul=cbssf&amp;scroll="&amp;$B$13&amp;"&amp;parsha=Tzom Tammuz&amp;aliyah=A2",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hyperlink("https://myvirtualtikkun.com/?shul=cbssf&amp;scroll="&amp;$B$13&amp;"&amp;parsha=Tzom Tammuz&amp;aliyah=A3", "III")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/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Tzom Tammuz (Mincha)</t>
        </is>
      </c>
      <c r="C1" s="5" t="inlineStr"/>
      <c r="D1" s="5" t="inlineStr">
        <is>
          <t>July 22</t>
        </is>
      </c>
      <c r="E1" s="5" t="inlineStr">
        <is>
          <t>Tamuz 17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21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hyperlink("https://myvirtualtikkun.com/?shul=cbssf&amp;view=both&amp;scroll="&amp;$B$13&amp;"&amp;parsha=Tzom Tammuz (Mincha)",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- 14 verses (parsha=7)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hyperlink("https://myvirtualtikkun.com/?shul=cbssf&amp;scroll="&amp;$B$13&amp;"&amp;parsha=Tzom Tammuz (Mincha)&amp;aliyah=A1", "I")</f>
        <v/>
      </c>
      <c r="B15" s="10" t="inlineStr">
        <is>
          <t>Exodus 32:11-14 (4)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hyperlink("https://myvirtualtikkun.com/?shul=cbssf&amp;scroll="&amp;$B$13&amp;"&amp;parsha=Tzom Tammuz (Mincha)&amp;aliyah=A2", "II")</f>
        <v/>
      </c>
      <c r="B16" s="12" t="inlineStr">
        <is>
          <t>Exodus 34:1-3 (3)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hyperlink("https://myvirtualtikkun.com/?shul=cbssf&amp;scroll="&amp;$B$13&amp;"&amp;parsha=Tzom Tammuz (Mincha)&amp;aliyah=M", "Maf")</f>
        <v/>
      </c>
      <c r="B17" s="14" t="inlineStr">
        <is>
          <t>Exodus 34:4-10 (7)</t>
        </is>
      </c>
      <c r="C17" s="14" t="inlineStr"/>
      <c r="D17" s="3" t="inlineStr"/>
      <c r="E17" s="3" t="inlineStr"/>
      <c r="F17" s="3" t="inlineStr"/>
    </row>
    <row r="18">
      <c r="A18" s="9" t="inlineStr">
        <is>
          <t>Haf</t>
        </is>
      </c>
      <c r="B18" s="10" t="inlineStr">
        <is>
          <t>Isaiah 55:6-56:8 (16)</t>
        </is>
      </c>
      <c r="C18" s="10" t="inlineStr"/>
      <c r="D18" s="3" t="inlineStr"/>
      <c r="E18" s="3" t="inlineStr"/>
      <c r="F18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7" t="inlineStr"/>
      <c r="B21" s="7" t="inlineStr">
        <is>
          <t>Honors</t>
        </is>
      </c>
      <c r="C21" s="3" t="inlineStr"/>
      <c r="D21" s="7" t="inlineStr">
        <is>
          <t>Etz Hayyim</t>
        </is>
      </c>
      <c r="E21" s="3" t="inlineStr"/>
      <c r="F21" s="3" t="inlineStr"/>
    </row>
    <row r="22">
      <c r="A22" s="3" t="inlineStr">
        <is>
          <t>P'ticha 1</t>
        </is>
      </c>
      <c r="B22" s="3" t="inlineStr"/>
      <c r="C22" s="3" t="inlineStr"/>
      <c r="D22" s="3" t="inlineStr">
        <is>
          <t>Torah page</t>
        </is>
      </c>
      <c r="E22" s="3" t="inlineStr"/>
      <c r="F22" s="3" t="inlineStr"/>
    </row>
    <row r="23">
      <c r="A23" s="3" t="inlineStr">
        <is>
          <t>P'ticha 2</t>
        </is>
      </c>
      <c r="B23" s="3" t="inlineStr"/>
      <c r="C23" s="3" t="inlineStr"/>
      <c r="D23" s="3" t="inlineStr">
        <is>
          <t>Haftarah page</t>
        </is>
      </c>
      <c r="E23" s="3" t="inlineStr"/>
      <c r="F23" s="3" t="inlineStr"/>
    </row>
    <row r="24">
      <c r="A24" s="3" t="inlineStr">
        <is>
          <t>Hagbah</t>
        </is>
      </c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G'lilah</t>
        </is>
      </c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Prayer for Country</t>
        </is>
      </c>
      <c r="B26" s="3" t="inlineStr"/>
      <c r="C26" s="3" t="inlineStr"/>
      <c r="D26" s="3" t="inlineStr"/>
      <c r="E26" s="3" t="inlineStr"/>
      <c r="F26" s="3" t="inlineStr"/>
    </row>
    <row r="27">
      <c r="A27" s="3" t="inlineStr">
        <is>
          <t>Prayer for Israel</t>
        </is>
      </c>
      <c r="B27" s="3" t="inlineStr"/>
      <c r="C27" s="3" t="inlineStr"/>
      <c r="D27" s="3" t="inlineStr"/>
      <c r="E27" s="3" t="inlineStr"/>
      <c r="F27" s="3" t="inlineStr"/>
    </row>
    <row r="28">
      <c r="A28" s="3" t="inlineStr">
        <is>
          <t>Prayer for Peace</t>
        </is>
      </c>
      <c r="B28" s="3" t="inlineStr"/>
      <c r="C28" s="3" t="inlineStr"/>
      <c r="D28" s="3" t="inlineStr"/>
      <c r="E28" s="3" t="inlineStr"/>
      <c r="F28" s="3" t="inlineStr"/>
    </row>
    <row r="29">
      <c r="A29" s="3" t="inlineStr">
        <is>
          <t>Anim Zmerot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Adon Olam</t>
        </is>
      </c>
      <c r="B30" s="3" t="inlineStr"/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Pinchas</t>
        </is>
      </c>
      <c r="C1" s="5" t="inlineStr"/>
      <c r="D1" s="5" t="inlineStr">
        <is>
          <t>July 24</t>
        </is>
      </c>
      <c r="E1" s="5" t="inlineStr">
        <is>
          <t>Tamuz 19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>
        <is>
          <t>Pinchas occurring after 17 Tammuz</t>
        </is>
      </c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23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hyperlink("https://myvirtualtikkun.com/?shul=cbssf&amp;view=both&amp;scroll="&amp;$B$13&amp;"&amp;parsha=Pinchas",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- 175 verses (parsha=169)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hyperlink("https://myvirtualtikkun.com/?shul=cbssf&amp;scroll="&amp;$B$13&amp;"&amp;parsha=Pinchas&amp;aliyah=A1", "I")</f>
        <v/>
      </c>
      <c r="B15" s="10" t="inlineStr">
        <is>
          <t>Numbers 25:10-26:4 (14)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hyperlink("https://myvirtualtikkun.com/?shul=cbssf&amp;scroll="&amp;$B$13&amp;"&amp;parsha=Pinchas&amp;aliyah=A2", "II")</f>
        <v/>
      </c>
      <c r="B16" s="12" t="inlineStr">
        <is>
          <t>Numbers 26:5-51 (47)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hyperlink("https://myvirtualtikkun.com/?shul=cbssf&amp;scroll="&amp;$B$13&amp;"&amp;parsha=Pinchas&amp;aliyah=A3", "III")</f>
        <v/>
      </c>
      <c r="B17" s="14" t="inlineStr">
        <is>
          <t>Numbers 26:52-27:5 (19)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hyperlink("https://myvirtualtikkun.com/?shul=cbssf&amp;scroll="&amp;$B$13&amp;"&amp;parsha=Pinchas&amp;aliyah=A4", "IV")</f>
        <v/>
      </c>
      <c r="B18" s="10" t="inlineStr">
        <is>
          <t>Numbers 27:6-23 (18)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hyperlink("https://myvirtualtikkun.com/?shul=cbssf&amp;scroll="&amp;$B$13&amp;"&amp;parsha=Pinchas&amp;aliyah=A5", "V")</f>
        <v/>
      </c>
      <c r="B19" s="12" t="inlineStr">
        <is>
          <t>Numbers 28:1-15 (15)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hyperlink("https://myvirtualtikkun.com/?shul=cbssf&amp;scroll="&amp;$B$13&amp;"&amp;parsha=Pinchas&amp;aliyah=A6", "VI")</f>
        <v/>
      </c>
      <c r="B20" s="14" t="inlineStr">
        <is>
          <t>Numbers 28:16-29:11 (27)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hyperlink("https://myvirtualtikkun.com/?shul=cbssf&amp;scroll="&amp;$B$13&amp;"&amp;parsha=Pinchas&amp;aliyah=A7", "VII")</f>
        <v/>
      </c>
      <c r="B21" s="10" t="inlineStr">
        <is>
          <t>Numbers 29:12-30:1 (29)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hyperlink("https://myvirtualtikkun.com/?shul=cbssf&amp;scroll="&amp;$B$13&amp;"&amp;parsha=Pinchas&amp;aliyah=M", "Maf")</f>
        <v/>
      </c>
      <c r="B22" s="12" t="inlineStr">
        <is>
          <t>Numbers 29:35-30:1 (6)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Jeremiah 1:11–19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918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970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.43" customWidth="1" min="1" max="1"/>
    <col width="32.57" customWidth="1" min="2" max="2"/>
    <col width="25.57" customWidth="1" min="3" max="3"/>
    <col width="25.57" customWidth="1" min="4" max="4"/>
    <col width="25.57" customWidth="1" min="5" max="5"/>
    <col width="62.43" customWidth="1" min="6" max="6"/>
  </cols>
  <sheetData>
    <row r="1">
      <c r="A1" s="5" t="inlineStr"/>
      <c r="B1" s="5" t="inlineStr">
        <is>
          <t>Matot-Masei</t>
        </is>
      </c>
      <c r="C1" s="5" t="inlineStr"/>
      <c r="D1" s="5" t="inlineStr">
        <is>
          <t>July 31</t>
        </is>
      </c>
      <c r="E1" s="5" t="inlineStr">
        <is>
          <t>Tamuz 26</t>
        </is>
      </c>
      <c r="F1" s="5" t="inlineStr"/>
    </row>
    <row r="2">
      <c r="A2" s="6" t="inlineStr">
        <is>
          <t>Rabbi Amanda Russell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Service leaders</t>
        </is>
      </c>
      <c r="B3" s="3" t="inlineStr">
        <is>
          <t>Kabbalat Shabbat July 30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>
        <is>
          <t>P'sukei D'zimrah</t>
        </is>
      </c>
      <c r="C4" s="3" t="inlineStr"/>
      <c r="D4" s="3" t="inlineStr"/>
      <c r="E4" s="3" t="inlineStr"/>
      <c r="F4" s="3" t="inlineStr"/>
    </row>
    <row r="5">
      <c r="A5" s="3" t="inlineStr"/>
      <c r="B5" s="3" t="inlineStr">
        <is>
          <t>Shacharit</t>
        </is>
      </c>
      <c r="C5" s="3" t="inlineStr"/>
      <c r="D5" s="3" t="inlineStr"/>
      <c r="E5" s="3" t="inlineStr"/>
      <c r="F5" s="3" t="inlineStr"/>
    </row>
    <row r="6">
      <c r="A6" s="3" t="inlineStr"/>
      <c r="B6" s="3" t="inlineStr">
        <is>
          <t>Musaf</t>
        </is>
      </c>
      <c r="C6" s="3">
        <f>if(ISNUMBER(SEARCH("Richman",$A$2)), "RDR default", "RAR default")</f>
        <v/>
      </c>
      <c r="D6" s="3" t="inlineStr"/>
      <c r="E6" s="3" t="inlineStr"/>
      <c r="F6" s="3" t="inlineStr"/>
    </row>
    <row r="7">
      <c r="A7" s="3" t="inlineStr"/>
      <c r="B7" s="3" t="inlineStr">
        <is>
          <t>Torah Service</t>
        </is>
      </c>
      <c r="C7" s="3" t="inlineStr"/>
      <c r="D7" s="3" t="inlineStr"/>
      <c r="E7" s="3" t="inlineStr"/>
      <c r="F7" s="3" t="inlineStr"/>
    </row>
    <row r="8">
      <c r="A8" s="3" t="inlineStr"/>
      <c r="B8" s="3" t="inlineStr">
        <is>
          <t>Gabbai</t>
        </is>
      </c>
      <c r="C8" s="3" t="inlineStr">
        <is>
          <t>Sam (default)</t>
        </is>
      </c>
      <c r="D8" s="3" t="inlineStr"/>
      <c r="E8" s="3" t="inlineStr"/>
      <c r="F8" s="3" t="inlineStr"/>
    </row>
    <row r="9">
      <c r="A9" s="3" t="inlineStr"/>
      <c r="B9" s="3" t="inlineStr">
        <is>
          <t>Distribute honors</t>
        </is>
      </c>
      <c r="C9" s="3" t="inlineStr">
        <is>
          <t>Todd (default)</t>
        </is>
      </c>
      <c r="D9" s="3" t="inlineStr"/>
      <c r="E9" s="3" t="inlineStr"/>
      <c r="F9" s="3" t="inlineStr"/>
    </row>
    <row r="10">
      <c r="A10" s="3" t="inlineStr"/>
      <c r="B10" s="3" t="inlineStr">
        <is>
          <t>Read announcements</t>
        </is>
      </c>
      <c r="C10" s="3" t="inlineStr">
        <is>
          <t>Jerilyn (default)</t>
        </is>
      </c>
      <c r="D10" s="3" t="inlineStr"/>
      <c r="E10" s="3" t="inlineStr"/>
      <c r="F10" s="3" t="inlineStr"/>
    </row>
    <row r="11">
      <c r="A11" s="7" t="inlineStr">
        <is>
          <t>Board hosts</t>
        </is>
      </c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8" t="inlineStr">
        <is>
          <t>Torah(s) Scroll</t>
        </is>
      </c>
      <c r="B13" s="8" t="inlineStr">
        <is>
          <t>Red</t>
        </is>
      </c>
      <c r="C13" s="3">
        <f>hyperlink("https://myvirtualtikkun.com/?shul=cbssf&amp;view=both&amp;scroll="&amp;$B$13&amp;"&amp;parsha=Matot-Masei", "Virtual Tikkun")</f>
        <v/>
      </c>
      <c r="D13" s="3" t="inlineStr"/>
      <c r="E13" s="3" t="inlineStr"/>
      <c r="F13" s="3" t="inlineStr"/>
    </row>
    <row r="14">
      <c r="A14" s="7" t="inlineStr"/>
      <c r="B14" s="7" t="inlineStr">
        <is>
          <t>Full kriyah - 247 verses (parsha=244)</t>
        </is>
      </c>
      <c r="C14" s="7" t="inlineStr">
        <is>
          <t>Reader</t>
        </is>
      </c>
      <c r="D14" s="7" t="inlineStr">
        <is>
          <t>Aliyah</t>
        </is>
      </c>
      <c r="E14" s="7" t="inlineStr">
        <is>
          <t>Hebrew Name(s)</t>
        </is>
      </c>
      <c r="F14" s="7" t="inlineStr">
        <is>
          <t>Notes</t>
        </is>
      </c>
    </row>
    <row r="15">
      <c r="A15" s="9">
        <f>hyperlink("https://myvirtualtikkun.com/?shul=cbssf&amp;scroll="&amp;$B$13&amp;"&amp;parsha=Matot-Masei&amp;aliyah=A1", "I")</f>
        <v/>
      </c>
      <c r="B15" s="10" t="inlineStr">
        <is>
          <t>Numbers 30:2-31:12 (28)</t>
        </is>
      </c>
      <c r="C15" s="10" t="inlineStr"/>
      <c r="D15" s="3" t="inlineStr"/>
      <c r="E15" s="3" t="inlineStr"/>
      <c r="F15" s="3" t="inlineStr"/>
    </row>
    <row r="16">
      <c r="A16" s="11">
        <f>hyperlink("https://myvirtualtikkun.com/?shul=cbssf&amp;scroll="&amp;$B$13&amp;"&amp;parsha=Matot-Masei&amp;aliyah=A2", "II")</f>
        <v/>
      </c>
      <c r="B16" s="12" t="inlineStr">
        <is>
          <t>Numbers 31:13-54 (42)</t>
        </is>
      </c>
      <c r="C16" s="12" t="inlineStr"/>
      <c r="D16" s="3" t="inlineStr"/>
      <c r="E16" s="3" t="inlineStr"/>
      <c r="F16" s="3" t="inlineStr"/>
    </row>
    <row r="17">
      <c r="A17" s="13">
        <f>hyperlink("https://myvirtualtikkun.com/?shul=cbssf&amp;scroll="&amp;$B$13&amp;"&amp;parsha=Matot-Masei&amp;aliyah=A3", "III")</f>
        <v/>
      </c>
      <c r="B17" s="14" t="inlineStr">
        <is>
          <t>Numbers 32:1-19 (19)</t>
        </is>
      </c>
      <c r="C17" s="14" t="inlineStr"/>
      <c r="D17" s="3" t="inlineStr"/>
      <c r="E17" s="3" t="inlineStr"/>
      <c r="F17" s="3" t="inlineStr"/>
    </row>
    <row r="18">
      <c r="A18" s="9">
        <f>hyperlink("https://myvirtualtikkun.com/?shul=cbssf&amp;scroll="&amp;$B$13&amp;"&amp;parsha=Matot-Masei&amp;aliyah=A4", "IV")</f>
        <v/>
      </c>
      <c r="B18" s="10" t="inlineStr">
        <is>
          <t>Numbers 32:20-33:49 (72)</t>
        </is>
      </c>
      <c r="C18" s="10" t="inlineStr"/>
      <c r="D18" s="3" t="inlineStr"/>
      <c r="E18" s="3" t="inlineStr"/>
      <c r="F18" s="3" t="inlineStr"/>
    </row>
    <row r="19">
      <c r="A19" s="11">
        <f>hyperlink("https://myvirtualtikkun.com/?shul=cbssf&amp;scroll="&amp;$B$13&amp;"&amp;parsha=Matot-Masei&amp;aliyah=A5", "V")</f>
        <v/>
      </c>
      <c r="B19" s="12" t="inlineStr">
        <is>
          <t>Numbers 33:50-34:15 (22)</t>
        </is>
      </c>
      <c r="C19" s="12" t="inlineStr"/>
      <c r="D19" s="3" t="inlineStr"/>
      <c r="E19" s="3" t="inlineStr"/>
      <c r="F19" s="3" t="inlineStr"/>
    </row>
    <row r="20">
      <c r="A20" s="13">
        <f>hyperlink("https://myvirtualtikkun.com/?shul=cbssf&amp;scroll="&amp;$B$13&amp;"&amp;parsha=Matot-Masei&amp;aliyah=A6", "VI")</f>
        <v/>
      </c>
      <c r="B20" s="14" t="inlineStr">
        <is>
          <t>Numbers 34:16-35:8 (22)</t>
        </is>
      </c>
      <c r="C20" s="14" t="inlineStr"/>
      <c r="D20" s="3" t="inlineStr"/>
      <c r="E20" s="3" t="inlineStr"/>
      <c r="F20" s="3" t="inlineStr"/>
    </row>
    <row r="21">
      <c r="A21" s="9">
        <f>hyperlink("https://myvirtualtikkun.com/?shul=cbssf&amp;scroll="&amp;$B$13&amp;"&amp;parsha=Matot-Masei&amp;aliyah=A7", "VII")</f>
        <v/>
      </c>
      <c r="B21" s="10" t="inlineStr">
        <is>
          <t>Numbers 35:9-36:13 (39)</t>
        </is>
      </c>
      <c r="C21" s="10" t="inlineStr"/>
      <c r="D21" s="3" t="inlineStr"/>
      <c r="E21" s="3" t="inlineStr"/>
      <c r="F21" s="3" t="inlineStr"/>
    </row>
    <row r="22">
      <c r="A22" s="11">
        <f>hyperlink("https://myvirtualtikkun.com/?shul=cbssf&amp;scroll="&amp;$B$13&amp;"&amp;parsha=Matot-Masei&amp;aliyah=M", "Maf")</f>
        <v/>
      </c>
      <c r="B22" s="12" t="inlineStr">
        <is>
          <t>Numbers 36:11-13 (3)</t>
        </is>
      </c>
      <c r="C22" s="12" t="inlineStr"/>
      <c r="D22" s="3" t="inlineStr"/>
      <c r="E22" s="3" t="inlineStr"/>
      <c r="F22" s="3" t="inlineStr"/>
    </row>
    <row r="23">
      <c r="A23" s="13" t="inlineStr">
        <is>
          <t>Haf</t>
        </is>
      </c>
      <c r="B23" s="14" t="inlineStr">
        <is>
          <t>Jeremiah 2:20–28; 3:4</t>
        </is>
      </c>
      <c r="C23" s="14" t="inlineStr"/>
      <c r="D23" s="3" t="inlineStr"/>
      <c r="E23" s="3" t="inlineStr"/>
      <c r="F23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7" t="inlineStr"/>
      <c r="B26" s="7" t="inlineStr">
        <is>
          <t>Honors</t>
        </is>
      </c>
      <c r="C26" s="3" t="inlineStr"/>
      <c r="D26" s="7" t="inlineStr">
        <is>
          <t>Etz Hayyim</t>
        </is>
      </c>
      <c r="E26" s="3" t="inlineStr"/>
      <c r="F26" s="3" t="inlineStr"/>
    </row>
    <row r="27">
      <c r="A27" s="3" t="inlineStr">
        <is>
          <t>P'ticha 1</t>
        </is>
      </c>
      <c r="B27" s="3" t="inlineStr"/>
      <c r="C27" s="3" t="inlineStr"/>
      <c r="D27" s="3" t="inlineStr">
        <is>
          <t>Torah page 941</t>
        </is>
      </c>
      <c r="E27" s="3" t="inlineStr"/>
      <c r="F27" s="3" t="inlineStr"/>
    </row>
    <row r="28">
      <c r="A28" s="3" t="inlineStr">
        <is>
          <t>P'ticha 2</t>
        </is>
      </c>
      <c r="B28" s="3" t="inlineStr"/>
      <c r="C28" s="3" t="inlineStr"/>
      <c r="D28" s="3" t="inlineStr">
        <is>
          <t>Haftarah page 975</t>
        </is>
      </c>
      <c r="E28" s="3" t="inlineStr"/>
      <c r="F28" s="3" t="inlineStr"/>
    </row>
    <row r="29">
      <c r="A29" s="3" t="inlineStr">
        <is>
          <t>Hagbah</t>
        </is>
      </c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G'lilah</t>
        </is>
      </c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Prayer for Country</t>
        </is>
      </c>
      <c r="B31" s="3" t="inlineStr"/>
      <c r="C31" s="3" t="inlineStr"/>
      <c r="D31" s="3" t="inlineStr"/>
      <c r="E31" s="3" t="inlineStr"/>
      <c r="F31" s="3" t="inlineStr"/>
    </row>
    <row r="32">
      <c r="A32" s="3" t="inlineStr">
        <is>
          <t>Prayer for Israel</t>
        </is>
      </c>
      <c r="B32" s="3" t="inlineStr"/>
      <c r="C32" s="3" t="inlineStr"/>
      <c r="D32" s="3" t="inlineStr"/>
      <c r="E32" s="3" t="inlineStr"/>
      <c r="F32" s="3" t="inlineStr"/>
    </row>
    <row r="33">
      <c r="A33" s="3" t="inlineStr">
        <is>
          <t>Prayer for Peace</t>
        </is>
      </c>
      <c r="B33" s="3" t="inlineStr"/>
      <c r="C33" s="3" t="inlineStr"/>
      <c r="D33" s="3" t="inlineStr"/>
      <c r="E33" s="3" t="inlineStr"/>
      <c r="F33" s="3" t="inlineStr"/>
    </row>
    <row r="34">
      <c r="A34" s="3" t="inlineStr">
        <is>
          <t>Anim Zmerot</t>
        </is>
      </c>
      <c r="B34" s="3" t="inlineStr"/>
      <c r="C34" s="3" t="inlineStr"/>
      <c r="D34" s="3" t="inlineStr"/>
      <c r="E34" s="3" t="inlineStr"/>
      <c r="F34" s="3" t="inlineStr"/>
    </row>
    <row r="35">
      <c r="A35" s="3" t="inlineStr">
        <is>
          <t>Adon Olam</t>
        </is>
      </c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2026-10-19T22:49:42Z</dcterms:created>
  <dcterms:modified xmlns:dcterms="http://purl.org/dc/terms/" xmlns:xsi="http://www.w3.org/2001/XMLSchema-instance" xsi:type="dcterms:W3CDTF">2026-10-19T22:49:42Z</dcterms:modified>
</cp:coreProperties>
</file>